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kicad_designs\ADAU1450\Github\Analysis\"/>
    </mc:Choice>
  </mc:AlternateContent>
  <bookViews>
    <workbookView xWindow="0" yWindow="0" windowWidth="28800" windowHeight="12435" firstSheet="2" activeTab="3"/>
  </bookViews>
  <sheets>
    <sheet name="Power Budget" sheetId="1" state="hidden" r:id="rId1"/>
    <sheet name="I2SoverUSB Pinout" sheetId="2" state="hidden" r:id="rId2"/>
    <sheet name="Power Budget (2)" sheetId="3" r:id="rId3"/>
    <sheet name="DSP Pinout and Config" sheetId="4" r:id="rId4"/>
    <sheet name="Setpoint Calc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3" l="1"/>
  <c r="H48" i="3"/>
  <c r="G25" i="5" l="1"/>
  <c r="H45" i="3" l="1"/>
  <c r="G27" i="3"/>
  <c r="G26" i="3"/>
  <c r="G16" i="3"/>
  <c r="G15" i="3"/>
  <c r="G14" i="3"/>
  <c r="G13" i="3"/>
  <c r="I49" i="3"/>
  <c r="K49" i="3" s="1"/>
  <c r="E59" i="5" l="1"/>
  <c r="E55" i="5"/>
  <c r="F59" i="5" s="1"/>
  <c r="G54" i="5"/>
  <c r="F50" i="5"/>
  <c r="E50" i="5"/>
  <c r="E46" i="5"/>
  <c r="G45" i="5"/>
  <c r="F42" i="5"/>
  <c r="E38" i="5"/>
  <c r="E42" i="5"/>
  <c r="G37" i="5"/>
  <c r="I45" i="3"/>
  <c r="K45" i="3" s="1"/>
  <c r="G24" i="5" l="1"/>
  <c r="G14" i="5"/>
  <c r="G13" i="5"/>
  <c r="G3" i="5"/>
  <c r="G4" i="5"/>
  <c r="E53" i="3" l="1"/>
  <c r="G18" i="3" l="1"/>
  <c r="G20" i="3"/>
  <c r="F19" i="3"/>
  <c r="G19" i="3" s="1"/>
  <c r="F17" i="3"/>
  <c r="H47" i="3" s="1"/>
  <c r="I47" i="3" s="1"/>
  <c r="K47" i="3" s="1"/>
  <c r="H40" i="3"/>
  <c r="H41" i="3"/>
  <c r="H42" i="3"/>
  <c r="H43" i="3"/>
  <c r="I48" i="3" l="1"/>
  <c r="N48" i="3" s="1"/>
  <c r="H46" i="3"/>
  <c r="E55" i="3" s="1"/>
  <c r="G55" i="3" s="1"/>
  <c r="G17" i="3"/>
  <c r="H44" i="3"/>
  <c r="G53" i="3" s="1"/>
  <c r="E56" i="3"/>
  <c r="G56" i="3" s="1"/>
  <c r="E54" i="3"/>
  <c r="G54" i="3" s="1"/>
  <c r="E58" i="3"/>
  <c r="G58" i="3" s="1"/>
  <c r="E61" i="3"/>
  <c r="I42" i="3"/>
  <c r="K42" i="3" s="1"/>
  <c r="E62" i="3"/>
  <c r="G28" i="3"/>
  <c r="G25" i="3"/>
  <c r="K48" i="3" l="1"/>
  <c r="F53" i="3"/>
  <c r="H53" i="3" s="1"/>
  <c r="F61" i="3"/>
  <c r="I43" i="3"/>
  <c r="K43" i="3" s="1"/>
  <c r="I46" i="3"/>
  <c r="K46" i="3" s="1"/>
  <c r="E59" i="3"/>
  <c r="G59" i="3" s="1"/>
  <c r="G12" i="3"/>
  <c r="G11" i="3"/>
  <c r="G10" i="3"/>
  <c r="G9" i="3"/>
  <c r="G8" i="3"/>
  <c r="G7" i="3"/>
  <c r="G6" i="3"/>
  <c r="G5" i="3"/>
  <c r="I41" i="3"/>
  <c r="K41" i="3" s="1"/>
  <c r="I40" i="3"/>
  <c r="K40" i="3" s="1"/>
  <c r="G24" i="3"/>
  <c r="G23" i="3"/>
  <c r="G22" i="3"/>
  <c r="G4" i="3"/>
  <c r="G3" i="3"/>
  <c r="G1" i="3" l="1"/>
  <c r="I44" i="3"/>
  <c r="K44" i="3" s="1"/>
  <c r="E29" i="1"/>
  <c r="E30" i="1"/>
  <c r="C28" i="1" s="1"/>
  <c r="E28" i="1"/>
  <c r="E9" i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16" i="1"/>
  <c r="E12" i="1"/>
  <c r="E11" i="1"/>
  <c r="E10" i="1"/>
  <c r="E21" i="1" l="1"/>
  <c r="F21" i="1" s="1"/>
  <c r="H21" i="1" s="1"/>
  <c r="F16" i="1"/>
  <c r="H16" i="1" s="1"/>
  <c r="E8" i="1"/>
  <c r="E7" i="1" l="1"/>
  <c r="E6" i="1"/>
  <c r="E4" i="1"/>
  <c r="E5" i="1"/>
  <c r="E3" i="1"/>
  <c r="E1" i="1" l="1"/>
</calcChain>
</file>

<file path=xl/sharedStrings.xml><?xml version="1.0" encoding="utf-8"?>
<sst xmlns="http://schemas.openxmlformats.org/spreadsheetml/2006/main" count="505" uniqueCount="262">
  <si>
    <t>Power Budget</t>
  </si>
  <si>
    <t>Voltage Rail</t>
  </si>
  <si>
    <t>Voltage</t>
  </si>
  <si>
    <t>Current (mA)</t>
  </si>
  <si>
    <t>VDD</t>
  </si>
  <si>
    <t>Device</t>
  </si>
  <si>
    <t>Power (mW)</t>
  </si>
  <si>
    <t>mW</t>
  </si>
  <si>
    <t>H1</t>
  </si>
  <si>
    <t>Pin</t>
  </si>
  <si>
    <t>Name</t>
  </si>
  <si>
    <t>Connect To</t>
  </si>
  <si>
    <t>GND</t>
  </si>
  <si>
    <t>GP_IN</t>
  </si>
  <si>
    <t>A0</t>
  </si>
  <si>
    <t>LOW = 44.1KHZ, HIGH = 48KHZ</t>
  </si>
  <si>
    <t>A1</t>
  </si>
  <si>
    <t>A2</t>
  </si>
  <si>
    <t>SAMPLING RATE INFO</t>
  </si>
  <si>
    <t>MUTE</t>
  </si>
  <si>
    <t>low = must mute the dac</t>
  </si>
  <si>
    <t>DSD_PCM</t>
  </si>
  <si>
    <t>low = PCM, high = DSD</t>
  </si>
  <si>
    <t>A3</t>
  </si>
  <si>
    <t>NC, power from usb host</t>
  </si>
  <si>
    <t>H2</t>
  </si>
  <si>
    <t>A0_ISO</t>
  </si>
  <si>
    <t>EX_MCLK</t>
  </si>
  <si>
    <t>MCLK_OUT2</t>
  </si>
  <si>
    <t>MCLK_OUT1</t>
  </si>
  <si>
    <t>SPDIF</t>
  </si>
  <si>
    <t>BCLK_I2S</t>
  </si>
  <si>
    <t>DATA_I2S</t>
  </si>
  <si>
    <t>LR_CLK_I2S</t>
  </si>
  <si>
    <t>DSD_PCM_ISO</t>
  </si>
  <si>
    <t>MUTE_ISO</t>
  </si>
  <si>
    <t>Notes</t>
  </si>
  <si>
    <t>external master clock input</t>
  </si>
  <si>
    <t>5VDD</t>
  </si>
  <si>
    <t>low = audio stream valid
high = audio stream invalid and mute DAC</t>
  </si>
  <si>
    <t>PCM5102A</t>
  </si>
  <si>
    <t>3.3VA</t>
  </si>
  <si>
    <t>3.3VDD</t>
  </si>
  <si>
    <t>1.8VDD</t>
  </si>
  <si>
    <t>Buffer</t>
  </si>
  <si>
    <t>PCM2706C</t>
  </si>
  <si>
    <t>PGA2311</t>
  </si>
  <si>
    <t>VCC (5V)</t>
  </si>
  <si>
    <t>Regulator</t>
  </si>
  <si>
    <t>LT3042</t>
  </si>
  <si>
    <t>TPS7A89</t>
  </si>
  <si>
    <t>TPS7A39</t>
  </si>
  <si>
    <t>Input Voltage</t>
  </si>
  <si>
    <t>Output Voltage</t>
  </si>
  <si>
    <t>Current</t>
  </si>
  <si>
    <t>VEE (-5V)</t>
  </si>
  <si>
    <t>Power Diss (mW)</t>
  </si>
  <si>
    <t>Theta_JA (C/W)</t>
  </si>
  <si>
    <t>delta_C</t>
  </si>
  <si>
    <t>TPS7B87</t>
  </si>
  <si>
    <t>P_9V</t>
  </si>
  <si>
    <t>N_9V</t>
  </si>
  <si>
    <t>ADUM4166</t>
  </si>
  <si>
    <t>VCC (10V)</t>
  </si>
  <si>
    <t>VEE (-10V)</t>
  </si>
  <si>
    <t>Opamp (signal)</t>
  </si>
  <si>
    <t>Opamp (amp)</t>
  </si>
  <si>
    <t>ESP32</t>
  </si>
  <si>
    <t>Display</t>
  </si>
  <si>
    <t>Current Limit</t>
  </si>
  <si>
    <t>1.8V</t>
  </si>
  <si>
    <t>TPS7A05</t>
  </si>
  <si>
    <t>N_12V</t>
  </si>
  <si>
    <t>P_12V</t>
  </si>
  <si>
    <t>AVDD</t>
  </si>
  <si>
    <t>DVDD</t>
  </si>
  <si>
    <t>PVDD</t>
  </si>
  <si>
    <t>IOVDD</t>
  </si>
  <si>
    <t>analog</t>
  </si>
  <si>
    <t>digital</t>
  </si>
  <si>
    <t>PLL</t>
  </si>
  <si>
    <t>IO</t>
  </si>
  <si>
    <t>5V</t>
  </si>
  <si>
    <t>RKZE-0505S</t>
  </si>
  <si>
    <t>Unreg 5V</t>
  </si>
  <si>
    <t>MP0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</si>
  <si>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</si>
  <si>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</si>
  <si>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</si>
  <si>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</si>
  <si>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</si>
  <si>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</si>
  <si>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</si>
  <si>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</si>
  <si>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</si>
  <si>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</si>
  <si>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</si>
  <si>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Use</t>
  </si>
  <si>
    <t>SDATA_IN1</t>
  </si>
  <si>
    <t>V_NRSS</t>
  </si>
  <si>
    <t>V</t>
  </si>
  <si>
    <t>VOUTP</t>
  </si>
  <si>
    <t>10V</t>
  </si>
  <si>
    <t>V_NRSS * (1+R1P/R2P)</t>
  </si>
  <si>
    <t>VOUTN</t>
  </si>
  <si>
    <t>N_10V</t>
  </si>
  <si>
    <t>V_NRSS*(-R1N/R2N)</t>
  </si>
  <si>
    <t>R1P</t>
  </si>
  <si>
    <t>ohm</t>
  </si>
  <si>
    <t>R2P</t>
  </si>
  <si>
    <t>R1N</t>
  </si>
  <si>
    <t>R2N</t>
  </si>
  <si>
    <t>5V +/- LDO</t>
  </si>
  <si>
    <t>10V +/- LDO</t>
  </si>
  <si>
    <t>R1</t>
  </si>
  <si>
    <t>R2</t>
  </si>
  <si>
    <t>Split Rail Switcher</t>
  </si>
  <si>
    <t>TPS65131RGE</t>
  </si>
  <si>
    <t>VOUT_N</t>
  </si>
  <si>
    <t>12V</t>
  </si>
  <si>
    <t>V_REF</t>
  </si>
  <si>
    <t>R1/R2*V_REF+1</t>
  </si>
  <si>
    <t>R3</t>
  </si>
  <si>
    <t>R4</t>
  </si>
  <si>
    <t>R3/-R4*V_REF</t>
  </si>
  <si>
    <t>Input Buffer</t>
  </si>
  <si>
    <t>Input Buffer - EPS32</t>
  </si>
  <si>
    <t>Output Stage</t>
  </si>
  <si>
    <t>ESP32 Summer</t>
  </si>
  <si>
    <t>none</t>
  </si>
  <si>
    <t>P5.5V</t>
  </si>
  <si>
    <t>Theta_JB (C/W)</t>
  </si>
  <si>
    <t>VOUT</t>
  </si>
  <si>
    <t>Lower</t>
  </si>
  <si>
    <t>Upper</t>
  </si>
  <si>
    <t>IADJ</t>
  </si>
  <si>
    <t>A</t>
  </si>
  <si>
    <t>CFF</t>
  </si>
  <si>
    <t>nF</t>
  </si>
  <si>
    <t>TPS7B8601</t>
  </si>
  <si>
    <t>V_REF*(1+R1/R2)</t>
  </si>
  <si>
    <t>r_sum</t>
  </si>
  <si>
    <t>1M</t>
  </si>
  <si>
    <t>150k</t>
  </si>
  <si>
    <t>245k</t>
  </si>
  <si>
    <t>56k</t>
  </si>
  <si>
    <t>Refdes</t>
  </si>
  <si>
    <t>TXB106PW</t>
  </si>
  <si>
    <t>U16</t>
  </si>
  <si>
    <t>LEVEL SHIFTER</t>
  </si>
  <si>
    <t>U3</t>
  </si>
  <si>
    <t>U2</t>
  </si>
  <si>
    <t>U4</t>
  </si>
  <si>
    <t>U8</t>
  </si>
  <si>
    <t>U13</t>
  </si>
  <si>
    <t>U17</t>
  </si>
  <si>
    <t>U19</t>
  </si>
  <si>
    <t>DAC (AK4452)</t>
  </si>
  <si>
    <t>TVDD</t>
  </si>
  <si>
    <t>GOOD 5V</t>
  </si>
  <si>
    <t>3.3V DIGITAL</t>
  </si>
  <si>
    <t>ADC (AK5572EN)</t>
  </si>
  <si>
    <t>AK4452</t>
  </si>
  <si>
    <t>AK5572EN</t>
  </si>
  <si>
    <t>ADAU1450</t>
  </si>
  <si>
    <t>1.2V</t>
  </si>
  <si>
    <t>5VA</t>
  </si>
  <si>
    <t>ADP7118</t>
  </si>
  <si>
    <t>ADAU1450 (DSP)</t>
  </si>
  <si>
    <t>AUXADC0</t>
  </si>
  <si>
    <t>AUXADC1</t>
  </si>
  <si>
    <t>AUXADC2</t>
  </si>
  <si>
    <t>AUXADC3</t>
  </si>
  <si>
    <t>POT 1</t>
  </si>
  <si>
    <t>POT 2</t>
  </si>
  <si>
    <t>POT 3</t>
  </si>
  <si>
    <t>POT 4</t>
  </si>
  <si>
    <t>AUXADC4</t>
  </si>
  <si>
    <t>AUXADC5</t>
  </si>
  <si>
    <t>NC</t>
  </si>
  <si>
    <t>ADAU1450 Signal</t>
  </si>
  <si>
    <t>BCLK_IN0</t>
  </si>
  <si>
    <t>LRCLK_IN0</t>
  </si>
  <si>
    <t>SDATA_IN0</t>
  </si>
  <si>
    <t>BCLK_IN1</t>
  </si>
  <si>
    <t>LRCLK_IN1</t>
  </si>
  <si>
    <t>ADC_BICK</t>
  </si>
  <si>
    <t>ADC_LRCK</t>
  </si>
  <si>
    <t>ADC_DATA</t>
  </si>
  <si>
    <t>YORK_BCK</t>
  </si>
  <si>
    <t>YORK_LRCK</t>
  </si>
  <si>
    <t>YORK_DATA</t>
  </si>
  <si>
    <t>LRCLK_OUT0</t>
  </si>
  <si>
    <t>BCLK_OUT0</t>
  </si>
  <si>
    <t>SDATA_OUT0</t>
  </si>
  <si>
    <t>DAC_LRCK</t>
  </si>
  <si>
    <t>DAC_BICK</t>
  </si>
  <si>
    <t>DAC_DATA</t>
  </si>
  <si>
    <t>MP12</t>
  </si>
  <si>
    <t>MP13</t>
  </si>
  <si>
    <t>EEPROM_SS</t>
  </si>
  <si>
    <t>SS_M</t>
  </si>
  <si>
    <t>EEPRON_MOSI</t>
  </si>
  <si>
    <t>MOSI_M</t>
  </si>
  <si>
    <t>EEPRON_SCLK</t>
  </si>
  <si>
    <t>SCLK_M</t>
  </si>
  <si>
    <t>EEPROM_MISO</t>
  </si>
  <si>
    <t>MISO_M</t>
  </si>
  <si>
    <t>SEE LRCLK_OUT0</t>
  </si>
  <si>
    <t>DSP_LED0</t>
  </si>
  <si>
    <t>DSP_LED1</t>
  </si>
  <si>
    <t>SEE LRCLK_IN0</t>
  </si>
  <si>
    <t>SEE LRCLK_IN1</t>
  </si>
  <si>
    <t>ADC</t>
  </si>
  <si>
    <t>DAC SIGNAL</t>
  </si>
  <si>
    <t>MCLK</t>
  </si>
  <si>
    <t>BICK</t>
  </si>
  <si>
    <t>LRCK</t>
  </si>
  <si>
    <t>SDTI1</t>
  </si>
  <si>
    <t>DAC_MCLK</t>
  </si>
  <si>
    <t>LDOE</t>
  </si>
  <si>
    <t>HIGH</t>
  </si>
  <si>
    <t>PDN</t>
  </si>
  <si>
    <t>I2C</t>
  </si>
  <si>
    <t>LOW = POWER DOWN</t>
  </si>
  <si>
    <t>PARALLEL CONTROL</t>
  </si>
  <si>
    <t>DIF</t>
  </si>
  <si>
    <t>TDM1</t>
  </si>
  <si>
    <t>TDM0</t>
  </si>
  <si>
    <t>DCHAIN</t>
  </si>
  <si>
    <t>LOW</t>
  </si>
  <si>
    <t xml:space="preserve">32b I2S, "NORMAL" </t>
  </si>
  <si>
    <t>PS</t>
  </si>
  <si>
    <t>BICK/DCLK</t>
  </si>
  <si>
    <t>STDO1</t>
  </si>
  <si>
    <t>ADC_MCLK</t>
  </si>
  <si>
    <t>ADC_BCK</t>
  </si>
  <si>
    <t>MSN</t>
  </si>
  <si>
    <t>CKS0</t>
  </si>
  <si>
    <t>CKS1</t>
  </si>
  <si>
    <t>CKS2</t>
  </si>
  <si>
    <t>CKS3</t>
  </si>
  <si>
    <t>SLOW</t>
  </si>
  <si>
    <t>SD</t>
  </si>
  <si>
    <t>DIF0</t>
  </si>
  <si>
    <t>DIF1</t>
  </si>
  <si>
    <t>HPFE</t>
  </si>
  <si>
    <t>ODP</t>
  </si>
  <si>
    <t>INTERNAL LDO</t>
  </si>
  <si>
    <t>SLAVE MODE</t>
  </si>
  <si>
    <t>12M NORMAL SPEED</t>
  </si>
  <si>
    <t>256fs</t>
  </si>
  <si>
    <t>32 BIT I2S</t>
  </si>
  <si>
    <t>PW0</t>
  </si>
  <si>
    <t>PW1</t>
  </si>
  <si>
    <t>PW2</t>
  </si>
  <si>
    <t>OPTIMAL DATA PLACEMENT</t>
  </si>
  <si>
    <t>BOTH CHANNELS ON</t>
  </si>
  <si>
    <t>SLOT 2 = CH2</t>
  </si>
  <si>
    <t>SLOT 1 = CH1</t>
  </si>
  <si>
    <t>1Hz HP filter</t>
  </si>
  <si>
    <t>SLOW ROLL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</si>
</sst>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390525</xdr:colOff>
      <xdr:row>16</xdr:row>
      <xdr:rowOff>38100</xdr:rowOff>
    </xdr:from>
    <xdr:to>
      <xdr:col>16</xdr:col>
      <xdr:colOff>408963</xdr:colOff>
      <xdr:row>30</xdr:row>
      <xdr:rowOff>28243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3086100"/>
          <a:ext cx="4895238" cy="2657143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16</xdr:row>
      <xdr:rowOff>95250</xdr:rowOff>
    </xdr:from>
    <xdr:to>
      <xdr:col>23</xdr:col>
      <xdr:colOff>532857</xdr:colOff>
      <xdr:row>21</xdr:row>
      <xdr:rowOff>18940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1800" y="3143250"/>
          <a:ext cx="4342857" cy="876190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21</xdr:row>
      <xdr:rowOff>114300</xdr:rowOff>
    </xdr:from>
    <xdr:to>
      <xdr:col>24</xdr:col>
      <xdr:colOff>28017</xdr:colOff>
      <xdr:row>25</xdr:row>
      <xdr:rowOff>161824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2750" y="4114800"/>
          <a:ext cx="4466667" cy="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3" sqref="A3:E5"/>
    </sheetView>
  </sheetViews>
  <sheetFormatPr defaultRowHeight="15" x14ac:dyDescent="0.25"/>
  <cols>
    <col min="2" max="2" width="13.5703125" bestFit="1" customWidth="1"/>
    <col min="3" max="3" width="7.85546875" bestFit="1" customWidth="1"/>
    <col min="4" max="4" width="12.5703125" bestFit="1" customWidth="1"/>
    <col min="5" max="5" width="12.140625" bestFit="1" customWidth="1"/>
    <col min="6" max="6" width="16.28515625" bestFit="1" customWidth="1"/>
  </cols>
  <sheetData>
    <row r="1" spans="1:8" x14ac:dyDescent="0.25">
      <c r="B1" t="s">
        <v>0</v>
      </c>
      <c r="E1">
        <f>SUM(E3:E17)</f>
        <v>937.9</v>
      </c>
      <c r="F1" t="s">
        <v>7</v>
      </c>
    </row>
    <row r="2" spans="1:8" x14ac:dyDescent="0.25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 spans="1:8" x14ac:dyDescent="0.25">
      <c r="A3" t="s">
        <v>40</v>
      </c>
      <c r="B3" t="s">
        <v>41</v>
      </c>
      <c r="C3">
        <v>3.3</v>
      </c>
      <c r="D3">
        <v>22</v>
      </c>
      <c r="E3">
        <f>C3*D3</f>
        <v>72.599999999999994</v>
      </c>
    </row>
    <row r="4" spans="1:8" x14ac:dyDescent="0.25">
      <c r="A4" t="s">
        <v>40</v>
      </c>
      <c r="B4" t="s">
        <v>42</v>
      </c>
      <c r="C4">
        <v>3.3</v>
      </c>
      <c r="D4">
        <v>9</v>
      </c>
      <c r="E4">
        <f t="shared" ref="E4:E12" si="0">C4*D4</f>
        <v>29.7</v>
      </c>
    </row>
    <row r="5" spans="1:8" x14ac:dyDescent="0.25">
      <c r="A5" t="s">
        <v>40</v>
      </c>
      <c r="B5" t="s">
        <v>43</v>
      </c>
      <c r="C5">
        <v>1.8</v>
      </c>
      <c r="D5">
        <v>9</v>
      </c>
      <c r="E5">
        <f t="shared" si="0"/>
        <v>16.2</v>
      </c>
    </row>
    <row r="6" spans="1:8" x14ac:dyDescent="0.25">
      <c r="A6" t="s">
        <v>44</v>
      </c>
      <c r="B6" t="s">
        <v>47</v>
      </c>
      <c r="C6">
        <v>5</v>
      </c>
      <c r="D6">
        <v>10</v>
      </c>
      <c r="E6">
        <f t="shared" si="0"/>
        <v>50</v>
      </c>
    </row>
    <row r="7" spans="1:8" x14ac:dyDescent="0.25">
      <c r="A7" t="s">
        <v>44</v>
      </c>
      <c r="B7" t="s">
        <v>55</v>
      </c>
      <c r="C7">
        <v>5</v>
      </c>
      <c r="D7">
        <v>10</v>
      </c>
      <c r="E7">
        <f t="shared" si="0"/>
        <v>50</v>
      </c>
    </row>
    <row r="8" spans="1:8" x14ac:dyDescent="0.25">
      <c r="A8" t="s">
        <v>45</v>
      </c>
      <c r="B8" t="s">
        <v>42</v>
      </c>
      <c r="C8">
        <v>3.3</v>
      </c>
      <c r="D8">
        <v>108</v>
      </c>
      <c r="E8">
        <f t="shared" si="0"/>
        <v>356.4</v>
      </c>
    </row>
    <row r="9" spans="1:8" x14ac:dyDescent="0.25">
      <c r="A9" t="s">
        <v>62</v>
      </c>
      <c r="B9" t="s">
        <v>42</v>
      </c>
      <c r="C9">
        <v>3.3</v>
      </c>
      <c r="D9">
        <v>30</v>
      </c>
      <c r="E9">
        <f t="shared" si="0"/>
        <v>99</v>
      </c>
    </row>
    <row r="10" spans="1:8" x14ac:dyDescent="0.25">
      <c r="A10" t="s">
        <v>46</v>
      </c>
      <c r="B10" t="s">
        <v>38</v>
      </c>
      <c r="C10">
        <v>5</v>
      </c>
      <c r="D10">
        <v>1</v>
      </c>
      <c r="E10">
        <f t="shared" si="0"/>
        <v>5</v>
      </c>
    </row>
    <row r="11" spans="1:8" x14ac:dyDescent="0.25">
      <c r="A11" t="s">
        <v>46</v>
      </c>
      <c r="B11" t="s">
        <v>47</v>
      </c>
      <c r="C11">
        <v>5</v>
      </c>
      <c r="D11">
        <v>8</v>
      </c>
      <c r="E11">
        <f t="shared" si="0"/>
        <v>40</v>
      </c>
    </row>
    <row r="12" spans="1:8" x14ac:dyDescent="0.25">
      <c r="A12" t="s">
        <v>46</v>
      </c>
      <c r="B12" t="s">
        <v>55</v>
      </c>
      <c r="C12">
        <v>5</v>
      </c>
      <c r="D12">
        <v>10</v>
      </c>
      <c r="E12">
        <f t="shared" si="0"/>
        <v>50</v>
      </c>
    </row>
    <row r="15" spans="1:8" x14ac:dyDescent="0.25">
      <c r="A15" t="s">
        <v>48</v>
      </c>
      <c r="B15" t="s">
        <v>1</v>
      </c>
      <c r="C15" t="s">
        <v>52</v>
      </c>
      <c r="D15" t="s">
        <v>53</v>
      </c>
      <c r="E15" t="s">
        <v>3</v>
      </c>
      <c r="F15" t="s">
        <v>56</v>
      </c>
      <c r="G15" t="s">
        <v>57</v>
      </c>
      <c r="H15" t="s">
        <v>58</v>
      </c>
    </row>
    <row r="16" spans="1:8" x14ac:dyDescent="0.25">
      <c r="A16" t="s">
        <v>49</v>
      </c>
      <c r="B16" t="s">
        <v>41</v>
      </c>
      <c r="C16">
        <v>5</v>
      </c>
      <c r="D16">
        <v>3.3</v>
      </c>
      <c r="E16">
        <f>SUMIF($B$3:$B$12,B16,$D$3:$D$12)</f>
        <v>22</v>
      </c>
      <c r="F16">
        <f>(C16-D16)*E16</f>
        <v>37.400000000000006</v>
      </c>
      <c r="G16">
        <v>33</v>
      </c>
      <c r="H16">
        <f>F16*G16/1000</f>
        <v>1.2342000000000002</v>
      </c>
    </row>
    <row r="17" spans="1:8" x14ac:dyDescent="0.25">
      <c r="A17" t="s">
        <v>50</v>
      </c>
      <c r="B17" t="s">
        <v>42</v>
      </c>
      <c r="C17">
        <v>5</v>
      </c>
      <c r="D17">
        <v>3.3</v>
      </c>
      <c r="E17">
        <f>SUMIF($B$3:$B$12,B17,$D$3:$D$12)</f>
        <v>147</v>
      </c>
      <c r="F17">
        <f t="shared" ref="F17:F21" si="1">(C17-D17)*E17</f>
        <v>249.90000000000003</v>
      </c>
      <c r="G17">
        <v>33</v>
      </c>
      <c r="H17">
        <f t="shared" ref="H17:H21" si="2">F17*G17/1000</f>
        <v>8.2467000000000006</v>
      </c>
    </row>
    <row r="18" spans="1:8" x14ac:dyDescent="0.25">
      <c r="A18" t="s">
        <v>50</v>
      </c>
      <c r="B18" t="s">
        <v>43</v>
      </c>
      <c r="C18">
        <v>5</v>
      </c>
      <c r="D18">
        <v>1.8</v>
      </c>
      <c r="E18">
        <f>SUMIF($B$3:$B$12,B18,$D$3:$D$12)</f>
        <v>9</v>
      </c>
      <c r="F18">
        <f t="shared" si="1"/>
        <v>28.8</v>
      </c>
      <c r="G18">
        <v>33</v>
      </c>
      <c r="H18">
        <f t="shared" si="2"/>
        <v>0.95040000000000002</v>
      </c>
    </row>
    <row r="19" spans="1:8" x14ac:dyDescent="0.25">
      <c r="A19" t="s">
        <v>51</v>
      </c>
      <c r="B19" t="s">
        <v>47</v>
      </c>
      <c r="C19">
        <v>9</v>
      </c>
      <c r="D19">
        <v>5</v>
      </c>
      <c r="E19">
        <f>SUMIF($B$3:$B$12,B19,$D$3:$D$12)</f>
        <v>18</v>
      </c>
      <c r="F19">
        <f t="shared" si="1"/>
        <v>72</v>
      </c>
      <c r="G19">
        <v>44.4</v>
      </c>
      <c r="H19">
        <f t="shared" si="2"/>
        <v>3.1967999999999996</v>
      </c>
    </row>
    <row r="20" spans="1:8" x14ac:dyDescent="0.25">
      <c r="A20" t="s">
        <v>51</v>
      </c>
      <c r="B20" t="s">
        <v>55</v>
      </c>
      <c r="C20">
        <v>9</v>
      </c>
      <c r="D20">
        <v>5</v>
      </c>
      <c r="E20">
        <f>SUMIF($B$3:$B$12,B20,$D$3:$D$12)</f>
        <v>20</v>
      </c>
      <c r="F20">
        <f t="shared" si="1"/>
        <v>80</v>
      </c>
      <c r="G20">
        <v>44.4</v>
      </c>
      <c r="H20">
        <f t="shared" si="2"/>
        <v>3.552</v>
      </c>
    </row>
    <row r="21" spans="1:8" x14ac:dyDescent="0.25">
      <c r="A21" t="s">
        <v>59</v>
      </c>
      <c r="B21" t="s">
        <v>38</v>
      </c>
      <c r="C21">
        <v>9</v>
      </c>
      <c r="D21">
        <v>5</v>
      </c>
      <c r="E21">
        <f>SUMIF($B$3:$B$12,B21,$D$3:$D$12)+E16+E17+E18</f>
        <v>179</v>
      </c>
      <c r="F21">
        <f t="shared" si="1"/>
        <v>716</v>
      </c>
      <c r="G21">
        <v>29.7</v>
      </c>
      <c r="H21">
        <f t="shared" si="2"/>
        <v>21.2652</v>
      </c>
    </row>
    <row r="26" spans="1:8" x14ac:dyDescent="0.25">
      <c r="B26" t="s">
        <v>48</v>
      </c>
      <c r="C26" t="s">
        <v>54</v>
      </c>
      <c r="D26" t="s">
        <v>48</v>
      </c>
      <c r="E26" t="s">
        <v>54</v>
      </c>
    </row>
    <row r="27" spans="1:8" x14ac:dyDescent="0.25">
      <c r="A27" t="s">
        <v>60</v>
      </c>
      <c r="B27" t="s">
        <v>47</v>
      </c>
      <c r="C27">
        <v>18</v>
      </c>
    </row>
    <row r="28" spans="1:8" x14ac:dyDescent="0.25">
      <c r="B28" t="s">
        <v>38</v>
      </c>
      <c r="C28">
        <f>1+E28+E29+E30</f>
        <v>179</v>
      </c>
      <c r="D28" t="s">
        <v>41</v>
      </c>
      <c r="E28">
        <f>E16</f>
        <v>22</v>
      </c>
    </row>
    <row r="29" spans="1:8" x14ac:dyDescent="0.25">
      <c r="D29" t="s">
        <v>42</v>
      </c>
      <c r="E29">
        <f t="shared" ref="E29:E30" si="3">E17</f>
        <v>147</v>
      </c>
    </row>
    <row r="30" spans="1:8" x14ac:dyDescent="0.25">
      <c r="D30" t="s">
        <v>43</v>
      </c>
      <c r="E30">
        <f t="shared" si="3"/>
        <v>9</v>
      </c>
    </row>
    <row r="31" spans="1:8" x14ac:dyDescent="0.25">
      <c r="A31" t="s">
        <v>61</v>
      </c>
      <c r="B31" t="s">
        <v>55</v>
      </c>
      <c r="C3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D19" sqref="D19"/>
    </sheetView>
  </sheetViews>
  <sheetFormatPr defaultRowHeight="15" x14ac:dyDescent="0.25"/>
  <cols>
    <col min="4" max="4" width="32.28515625" customWidth="1"/>
  </cols>
  <sheetData>
    <row r="1" spans="1:4" x14ac:dyDescent="0.25">
      <c r="A1" t="s">
        <v>8</v>
      </c>
    </row>
    <row r="2" spans="1:4" x14ac:dyDescent="0.25">
      <c r="A2" t="s">
        <v>9</v>
      </c>
      <c r="B2" t="s">
        <v>10</v>
      </c>
      <c r="C2" t="s">
        <v>11</v>
      </c>
    </row>
    <row r="3" spans="1:4" x14ac:dyDescent="0.25">
      <c r="A3">
        <v>1</v>
      </c>
      <c r="B3" t="s">
        <v>4</v>
      </c>
      <c r="C3" t="s">
        <v>24</v>
      </c>
    </row>
    <row r="4" spans="1:4" x14ac:dyDescent="0.25">
      <c r="A4">
        <v>2</v>
      </c>
      <c r="B4" t="s">
        <v>12</v>
      </c>
    </row>
    <row r="5" spans="1:4" x14ac:dyDescent="0.25">
      <c r="A5">
        <v>3</v>
      </c>
      <c r="B5" t="s">
        <v>13</v>
      </c>
    </row>
    <row r="6" spans="1:4" x14ac:dyDescent="0.25">
      <c r="A6">
        <v>4</v>
      </c>
      <c r="B6" t="s">
        <v>14</v>
      </c>
      <c r="D6" t="s">
        <v>15</v>
      </c>
    </row>
    <row r="7" spans="1:4" x14ac:dyDescent="0.25">
      <c r="A7">
        <v>5</v>
      </c>
      <c r="B7" t="s">
        <v>16</v>
      </c>
      <c r="D7" t="s">
        <v>18</v>
      </c>
    </row>
    <row r="8" spans="1:4" x14ac:dyDescent="0.25">
      <c r="A8">
        <v>6</v>
      </c>
      <c r="B8" t="s">
        <v>17</v>
      </c>
      <c r="D8" t="s">
        <v>18</v>
      </c>
    </row>
    <row r="9" spans="1:4" x14ac:dyDescent="0.25">
      <c r="A9">
        <v>7</v>
      </c>
      <c r="B9" t="s">
        <v>19</v>
      </c>
      <c r="D9" t="s">
        <v>20</v>
      </c>
    </row>
    <row r="10" spans="1:4" x14ac:dyDescent="0.25">
      <c r="A10">
        <v>8</v>
      </c>
      <c r="B10" t="s">
        <v>21</v>
      </c>
      <c r="D10" t="s">
        <v>22</v>
      </c>
    </row>
    <row r="11" spans="1:4" x14ac:dyDescent="0.25">
      <c r="A11">
        <v>9</v>
      </c>
      <c r="B11" t="s">
        <v>23</v>
      </c>
      <c r="D11" t="s">
        <v>18</v>
      </c>
    </row>
    <row r="12" spans="1:4" x14ac:dyDescent="0.25">
      <c r="A12">
        <v>10</v>
      </c>
      <c r="B12" t="s">
        <v>12</v>
      </c>
    </row>
    <row r="14" spans="1:4" x14ac:dyDescent="0.25">
      <c r="A14" t="s">
        <v>25</v>
      </c>
    </row>
    <row r="15" spans="1:4" x14ac:dyDescent="0.25">
      <c r="A15" t="s">
        <v>9</v>
      </c>
      <c r="B15" t="s">
        <v>10</v>
      </c>
      <c r="C15" t="s">
        <v>11</v>
      </c>
      <c r="D15" t="s">
        <v>36</v>
      </c>
    </row>
    <row r="16" spans="1:4" x14ac:dyDescent="0.25">
      <c r="A16">
        <v>1</v>
      </c>
      <c r="B16" t="s">
        <v>26</v>
      </c>
      <c r="D16" t="s">
        <v>15</v>
      </c>
    </row>
    <row r="17" spans="1:4" x14ac:dyDescent="0.25">
      <c r="A17">
        <v>2</v>
      </c>
      <c r="B17" t="s">
        <v>12</v>
      </c>
    </row>
    <row r="18" spans="1:4" x14ac:dyDescent="0.25">
      <c r="A18">
        <v>3</v>
      </c>
      <c r="B18" t="s">
        <v>27</v>
      </c>
      <c r="D18" t="s">
        <v>37</v>
      </c>
    </row>
    <row r="19" spans="1:4" x14ac:dyDescent="0.25">
      <c r="A19">
        <v>4</v>
      </c>
      <c r="B19" t="s">
        <v>12</v>
      </c>
    </row>
    <row r="20" spans="1:4" x14ac:dyDescent="0.25">
      <c r="A20">
        <v>5</v>
      </c>
      <c r="B20" t="s">
        <v>28</v>
      </c>
    </row>
    <row r="21" spans="1:4" x14ac:dyDescent="0.25">
      <c r="A21">
        <v>6</v>
      </c>
      <c r="B21" t="s">
        <v>12</v>
      </c>
    </row>
    <row r="22" spans="1:4" x14ac:dyDescent="0.25">
      <c r="A22">
        <v>7</v>
      </c>
      <c r="B22" t="s">
        <v>29</v>
      </c>
    </row>
    <row r="23" spans="1:4" x14ac:dyDescent="0.25">
      <c r="A23">
        <v>8</v>
      </c>
      <c r="B23" t="s">
        <v>12</v>
      </c>
    </row>
    <row r="24" spans="1:4" x14ac:dyDescent="0.25">
      <c r="A24">
        <v>9</v>
      </c>
      <c r="B24" t="s">
        <v>30</v>
      </c>
    </row>
    <row r="25" spans="1:4" x14ac:dyDescent="0.25">
      <c r="A25">
        <v>10</v>
      </c>
      <c r="B25" t="s">
        <v>12</v>
      </c>
    </row>
    <row r="26" spans="1:4" x14ac:dyDescent="0.25">
      <c r="A26">
        <v>11</v>
      </c>
      <c r="B26" t="s">
        <v>31</v>
      </c>
    </row>
    <row r="27" spans="1:4" x14ac:dyDescent="0.25">
      <c r="A27">
        <v>12</v>
      </c>
      <c r="B27" t="s">
        <v>12</v>
      </c>
    </row>
    <row r="28" spans="1:4" x14ac:dyDescent="0.25">
      <c r="A28">
        <v>13</v>
      </c>
      <c r="B28" t="s">
        <v>32</v>
      </c>
    </row>
    <row r="29" spans="1:4" x14ac:dyDescent="0.25">
      <c r="A29">
        <v>14</v>
      </c>
      <c r="B29" t="s">
        <v>12</v>
      </c>
    </row>
    <row r="30" spans="1:4" x14ac:dyDescent="0.25">
      <c r="A30">
        <v>15</v>
      </c>
      <c r="B30" t="s">
        <v>33</v>
      </c>
    </row>
    <row r="31" spans="1:4" x14ac:dyDescent="0.25">
      <c r="A31">
        <v>16</v>
      </c>
      <c r="B31" t="s">
        <v>12</v>
      </c>
    </row>
    <row r="32" spans="1:4" x14ac:dyDescent="0.25">
      <c r="A32">
        <v>17</v>
      </c>
      <c r="B32" t="s">
        <v>4</v>
      </c>
      <c r="C32" t="s">
        <v>38</v>
      </c>
    </row>
    <row r="33" spans="1:4" x14ac:dyDescent="0.25">
      <c r="A33">
        <v>18</v>
      </c>
      <c r="B33" t="s">
        <v>34</v>
      </c>
    </row>
    <row r="34" spans="1:4" x14ac:dyDescent="0.25">
      <c r="A34">
        <v>19</v>
      </c>
      <c r="B34" t="s">
        <v>12</v>
      </c>
    </row>
    <row r="35" spans="1:4" ht="45" x14ac:dyDescent="0.25">
      <c r="A35">
        <v>20</v>
      </c>
      <c r="B35" t="s">
        <v>35</v>
      </c>
      <c r="D35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Q44" sqref="Q44"/>
    </sheetView>
  </sheetViews>
  <sheetFormatPr defaultRowHeight="15" x14ac:dyDescent="0.25"/>
  <cols>
    <col min="1" max="1" width="18.7109375" bestFit="1" customWidth="1"/>
    <col min="2" max="2" width="18.7109375" customWidth="1"/>
    <col min="3" max="3" width="14.5703125" bestFit="1" customWidth="1"/>
    <col min="4" max="4" width="13.5703125" bestFit="1" customWidth="1"/>
    <col min="5" max="5" width="7.85546875" bestFit="1" customWidth="1"/>
    <col min="6" max="6" width="12.5703125" bestFit="1" customWidth="1"/>
    <col min="7" max="7" width="12.140625" bestFit="1" customWidth="1"/>
    <col min="8" max="8" width="16.28515625" bestFit="1" customWidth="1"/>
    <col min="10" max="10" width="14.85546875" bestFit="1" customWidth="1"/>
  </cols>
  <sheetData>
    <row r="1" spans="1:9" x14ac:dyDescent="0.25">
      <c r="D1" t="s">
        <v>0</v>
      </c>
      <c r="G1">
        <f>SUM(G3:G39)</f>
        <v>2901.2</v>
      </c>
      <c r="H1" t="s">
        <v>7</v>
      </c>
    </row>
    <row r="2" spans="1:9" x14ac:dyDescent="0.25">
      <c r="B2" t="s">
        <v>146</v>
      </c>
      <c r="C2" t="s">
        <v>5</v>
      </c>
      <c r="D2" t="s">
        <v>1</v>
      </c>
      <c r="E2" t="s">
        <v>2</v>
      </c>
      <c r="F2" t="s">
        <v>3</v>
      </c>
      <c r="G2" t="s">
        <v>6</v>
      </c>
    </row>
    <row r="3" spans="1:9" x14ac:dyDescent="0.25">
      <c r="A3" t="s">
        <v>125</v>
      </c>
      <c r="C3" t="s">
        <v>65</v>
      </c>
      <c r="D3" t="s">
        <v>47</v>
      </c>
      <c r="E3">
        <v>5</v>
      </c>
      <c r="F3">
        <v>10</v>
      </c>
      <c r="G3">
        <f t="shared" ref="G3:G28" si="0">E3*F3</f>
        <v>50</v>
      </c>
    </row>
    <row r="4" spans="1:9" x14ac:dyDescent="0.25">
      <c r="A4" t="s">
        <v>125</v>
      </c>
      <c r="C4" t="s">
        <v>65</v>
      </c>
      <c r="D4" t="s">
        <v>55</v>
      </c>
      <c r="E4">
        <v>5</v>
      </c>
      <c r="F4">
        <v>10</v>
      </c>
      <c r="G4">
        <f t="shared" si="0"/>
        <v>50</v>
      </c>
    </row>
    <row r="5" spans="1:9" x14ac:dyDescent="0.25">
      <c r="A5" t="s">
        <v>126</v>
      </c>
      <c r="C5" t="s">
        <v>65</v>
      </c>
      <c r="D5" t="s">
        <v>47</v>
      </c>
      <c r="E5">
        <v>5</v>
      </c>
      <c r="F5">
        <v>10</v>
      </c>
      <c r="G5">
        <f t="shared" ref="G5:G8" si="1">E5*F5</f>
        <v>50</v>
      </c>
    </row>
    <row r="6" spans="1:9" x14ac:dyDescent="0.25">
      <c r="A6" t="s">
        <v>126</v>
      </c>
      <c r="C6" t="s">
        <v>65</v>
      </c>
      <c r="D6" t="s">
        <v>55</v>
      </c>
      <c r="E6">
        <v>5</v>
      </c>
      <c r="F6">
        <v>10</v>
      </c>
      <c r="G6">
        <f t="shared" si="1"/>
        <v>50</v>
      </c>
    </row>
    <row r="7" spans="1:9" x14ac:dyDescent="0.25">
      <c r="A7" t="s">
        <v>128</v>
      </c>
      <c r="C7" t="s">
        <v>66</v>
      </c>
      <c r="D7" t="s">
        <v>47</v>
      </c>
      <c r="E7">
        <v>5</v>
      </c>
      <c r="F7">
        <v>10</v>
      </c>
      <c r="G7">
        <f t="shared" si="1"/>
        <v>50</v>
      </c>
    </row>
    <row r="8" spans="1:9" x14ac:dyDescent="0.25">
      <c r="A8" t="s">
        <v>129</v>
      </c>
      <c r="C8" t="s">
        <v>66</v>
      </c>
      <c r="D8" t="s">
        <v>55</v>
      </c>
      <c r="G8">
        <f t="shared" si="1"/>
        <v>0</v>
      </c>
    </row>
    <row r="9" spans="1:9" x14ac:dyDescent="0.25">
      <c r="A9" t="s">
        <v>127</v>
      </c>
      <c r="C9" t="s">
        <v>66</v>
      </c>
      <c r="D9" t="s">
        <v>47</v>
      </c>
      <c r="E9">
        <v>5</v>
      </c>
      <c r="F9">
        <v>10</v>
      </c>
      <c r="G9">
        <f t="shared" ref="G9:G16" si="2">E9*F9</f>
        <v>50</v>
      </c>
    </row>
    <row r="10" spans="1:9" x14ac:dyDescent="0.25">
      <c r="A10" t="s">
        <v>127</v>
      </c>
      <c r="C10" t="s">
        <v>66</v>
      </c>
      <c r="D10" t="s">
        <v>55</v>
      </c>
      <c r="E10">
        <v>5</v>
      </c>
      <c r="F10">
        <v>10</v>
      </c>
      <c r="G10">
        <f t="shared" si="2"/>
        <v>50</v>
      </c>
    </row>
    <row r="11" spans="1:9" x14ac:dyDescent="0.25">
      <c r="A11" t="s">
        <v>127</v>
      </c>
      <c r="C11" t="s">
        <v>66</v>
      </c>
      <c r="D11" t="s">
        <v>63</v>
      </c>
      <c r="E11">
        <v>10</v>
      </c>
      <c r="F11">
        <v>50</v>
      </c>
      <c r="G11">
        <f t="shared" si="2"/>
        <v>500</v>
      </c>
    </row>
    <row r="12" spans="1:9" x14ac:dyDescent="0.25">
      <c r="A12" t="s">
        <v>127</v>
      </c>
      <c r="C12" t="s">
        <v>66</v>
      </c>
      <c r="D12" t="s">
        <v>64</v>
      </c>
      <c r="E12">
        <v>10</v>
      </c>
      <c r="F12">
        <v>50</v>
      </c>
      <c r="G12">
        <f t="shared" si="2"/>
        <v>500</v>
      </c>
    </row>
    <row r="13" spans="1:9" x14ac:dyDescent="0.25">
      <c r="A13" t="s">
        <v>157</v>
      </c>
      <c r="C13" t="s">
        <v>162</v>
      </c>
      <c r="D13" t="s">
        <v>166</v>
      </c>
      <c r="E13">
        <v>5</v>
      </c>
      <c r="F13">
        <v>11</v>
      </c>
      <c r="G13">
        <f t="shared" si="2"/>
        <v>55</v>
      </c>
      <c r="H13" t="s">
        <v>74</v>
      </c>
      <c r="I13" t="s">
        <v>159</v>
      </c>
    </row>
    <row r="14" spans="1:9" x14ac:dyDescent="0.25">
      <c r="C14" t="s">
        <v>162</v>
      </c>
      <c r="D14" t="s">
        <v>42</v>
      </c>
      <c r="E14">
        <v>3.3</v>
      </c>
      <c r="F14">
        <v>10</v>
      </c>
      <c r="G14">
        <f t="shared" si="2"/>
        <v>33</v>
      </c>
      <c r="H14" t="s">
        <v>158</v>
      </c>
      <c r="I14" t="s">
        <v>160</v>
      </c>
    </row>
    <row r="15" spans="1:9" x14ac:dyDescent="0.25">
      <c r="A15" t="s">
        <v>161</v>
      </c>
      <c r="C15" t="s">
        <v>163</v>
      </c>
      <c r="D15" t="s">
        <v>166</v>
      </c>
      <c r="E15">
        <v>5</v>
      </c>
      <c r="F15">
        <v>33</v>
      </c>
      <c r="G15">
        <f t="shared" si="2"/>
        <v>165</v>
      </c>
      <c r="H15" t="s">
        <v>74</v>
      </c>
      <c r="I15" t="s">
        <v>159</v>
      </c>
    </row>
    <row r="16" spans="1:9" x14ac:dyDescent="0.25">
      <c r="C16" t="s">
        <v>163</v>
      </c>
      <c r="D16" t="s">
        <v>42</v>
      </c>
      <c r="E16">
        <v>3.3</v>
      </c>
      <c r="F16">
        <v>14</v>
      </c>
      <c r="G16">
        <f t="shared" si="2"/>
        <v>46.199999999999996</v>
      </c>
      <c r="H16" t="s">
        <v>158</v>
      </c>
      <c r="I16" t="s">
        <v>160</v>
      </c>
    </row>
    <row r="17" spans="1:9" x14ac:dyDescent="0.25">
      <c r="A17" t="s">
        <v>168</v>
      </c>
      <c r="C17" t="s">
        <v>164</v>
      </c>
      <c r="D17" t="s">
        <v>41</v>
      </c>
      <c r="E17">
        <v>3.3</v>
      </c>
      <c r="F17">
        <f>85/2</f>
        <v>42.5</v>
      </c>
      <c r="G17">
        <f>E17*F17</f>
        <v>140.25</v>
      </c>
      <c r="H17" t="s">
        <v>74</v>
      </c>
      <c r="I17" t="s">
        <v>78</v>
      </c>
    </row>
    <row r="18" spans="1:9" x14ac:dyDescent="0.25">
      <c r="C18" t="s">
        <v>164</v>
      </c>
      <c r="D18" t="s">
        <v>165</v>
      </c>
      <c r="E18">
        <v>1.2</v>
      </c>
      <c r="F18">
        <v>60</v>
      </c>
      <c r="G18">
        <f>E18*F18</f>
        <v>72</v>
      </c>
      <c r="H18" t="s">
        <v>75</v>
      </c>
      <c r="I18" t="s">
        <v>79</v>
      </c>
    </row>
    <row r="19" spans="1:9" x14ac:dyDescent="0.25">
      <c r="C19" t="s">
        <v>164</v>
      </c>
      <c r="D19" t="s">
        <v>41</v>
      </c>
      <c r="E19">
        <v>3.3</v>
      </c>
      <c r="F19">
        <f>85/2</f>
        <v>42.5</v>
      </c>
      <c r="G19">
        <f>E19*F19</f>
        <v>140.25</v>
      </c>
      <c r="H19" t="s">
        <v>76</v>
      </c>
      <c r="I19" t="s">
        <v>80</v>
      </c>
    </row>
    <row r="20" spans="1:9" x14ac:dyDescent="0.25">
      <c r="C20" t="s">
        <v>164</v>
      </c>
      <c r="D20" t="s">
        <v>42</v>
      </c>
      <c r="E20">
        <v>3.3</v>
      </c>
      <c r="F20">
        <v>10</v>
      </c>
      <c r="G20">
        <f>E20*F20</f>
        <v>33</v>
      </c>
      <c r="H20" t="s">
        <v>77</v>
      </c>
      <c r="I20" t="s">
        <v>81</v>
      </c>
    </row>
    <row r="22" spans="1:9" x14ac:dyDescent="0.25">
      <c r="C22" t="s">
        <v>46</v>
      </c>
      <c r="D22" t="s">
        <v>38</v>
      </c>
      <c r="E22">
        <v>5</v>
      </c>
      <c r="F22">
        <v>1</v>
      </c>
      <c r="G22">
        <f t="shared" si="0"/>
        <v>5</v>
      </c>
    </row>
    <row r="23" spans="1:9" x14ac:dyDescent="0.25">
      <c r="C23" t="s">
        <v>46</v>
      </c>
      <c r="D23" t="s">
        <v>47</v>
      </c>
      <c r="E23">
        <v>5</v>
      </c>
      <c r="F23">
        <v>8</v>
      </c>
      <c r="G23">
        <f t="shared" si="0"/>
        <v>40</v>
      </c>
    </row>
    <row r="24" spans="1:9" x14ac:dyDescent="0.25">
      <c r="C24" t="s">
        <v>46</v>
      </c>
      <c r="D24" t="s">
        <v>55</v>
      </c>
      <c r="E24">
        <v>5</v>
      </c>
      <c r="F24">
        <v>10</v>
      </c>
      <c r="G24">
        <f t="shared" si="0"/>
        <v>50</v>
      </c>
    </row>
    <row r="25" spans="1:9" x14ac:dyDescent="0.25">
      <c r="B25" t="s">
        <v>16</v>
      </c>
      <c r="C25" t="s">
        <v>67</v>
      </c>
      <c r="D25" t="s">
        <v>38</v>
      </c>
      <c r="E25">
        <v>5</v>
      </c>
      <c r="F25">
        <v>80</v>
      </c>
      <c r="G25">
        <f t="shared" si="0"/>
        <v>400</v>
      </c>
    </row>
    <row r="26" spans="1:9" x14ac:dyDescent="0.25">
      <c r="A26" t="s">
        <v>149</v>
      </c>
      <c r="B26" t="s">
        <v>148</v>
      </c>
      <c r="C26" t="s">
        <v>147</v>
      </c>
      <c r="D26" t="s">
        <v>42</v>
      </c>
      <c r="E26">
        <v>3.3</v>
      </c>
      <c r="F26">
        <v>5</v>
      </c>
      <c r="G26">
        <f t="shared" si="0"/>
        <v>16.5</v>
      </c>
    </row>
    <row r="27" spans="1:9" x14ac:dyDescent="0.25">
      <c r="D27" t="s">
        <v>38</v>
      </c>
      <c r="E27">
        <v>5</v>
      </c>
      <c r="F27">
        <v>5</v>
      </c>
      <c r="G27">
        <f t="shared" si="0"/>
        <v>25</v>
      </c>
    </row>
    <row r="28" spans="1:9" x14ac:dyDescent="0.25">
      <c r="C28" t="s">
        <v>68</v>
      </c>
      <c r="D28" t="s">
        <v>42</v>
      </c>
      <c r="E28">
        <v>3.3</v>
      </c>
      <c r="F28">
        <v>100</v>
      </c>
      <c r="G28">
        <f t="shared" si="0"/>
        <v>330</v>
      </c>
    </row>
    <row r="39" spans="2:14" x14ac:dyDescent="0.25">
      <c r="C39" t="s">
        <v>48</v>
      </c>
      <c r="D39" t="s">
        <v>1</v>
      </c>
      <c r="E39" t="s">
        <v>52</v>
      </c>
      <c r="F39" t="s">
        <v>53</v>
      </c>
      <c r="G39" t="s">
        <v>69</v>
      </c>
      <c r="H39" t="s">
        <v>3</v>
      </c>
      <c r="I39" t="s">
        <v>56</v>
      </c>
      <c r="J39" t="s">
        <v>57</v>
      </c>
      <c r="K39" t="s">
        <v>58</v>
      </c>
      <c r="M39" t="s">
        <v>131</v>
      </c>
    </row>
    <row r="40" spans="2:14" x14ac:dyDescent="0.25">
      <c r="B40" t="s">
        <v>155</v>
      </c>
      <c r="C40" t="s">
        <v>51</v>
      </c>
      <c r="D40" t="s">
        <v>47</v>
      </c>
      <c r="E40">
        <v>12</v>
      </c>
      <c r="F40">
        <v>5</v>
      </c>
      <c r="G40">
        <v>150</v>
      </c>
      <c r="H40">
        <f>SUMIF($D$3:$D$37,D40,$F$3:$F$37)</f>
        <v>48</v>
      </c>
      <c r="I40">
        <f t="shared" ref="I40:I48" si="3">(E40-F40)*H40</f>
        <v>336</v>
      </c>
      <c r="J40">
        <v>44.4</v>
      </c>
      <c r="K40">
        <f t="shared" ref="K40:K41" si="4">I40*J40/1000</f>
        <v>14.9184</v>
      </c>
    </row>
    <row r="41" spans="2:14" x14ac:dyDescent="0.25">
      <c r="B41" t="s">
        <v>155</v>
      </c>
      <c r="C41" t="s">
        <v>51</v>
      </c>
      <c r="D41" t="s">
        <v>55</v>
      </c>
      <c r="E41">
        <v>12</v>
      </c>
      <c r="F41">
        <v>5</v>
      </c>
      <c r="G41">
        <v>150</v>
      </c>
      <c r="H41">
        <f>SUMIF($D$3:$D$37,D41,$F$3:$F$37)</f>
        <v>40</v>
      </c>
      <c r="I41">
        <f t="shared" si="3"/>
        <v>280</v>
      </c>
      <c r="J41">
        <v>44.4</v>
      </c>
      <c r="K41">
        <f t="shared" si="4"/>
        <v>12.432</v>
      </c>
    </row>
    <row r="42" spans="2:14" x14ac:dyDescent="0.25">
      <c r="B42" t="s">
        <v>156</v>
      </c>
      <c r="C42" t="s">
        <v>51</v>
      </c>
      <c r="D42" t="s">
        <v>63</v>
      </c>
      <c r="E42">
        <v>12</v>
      </c>
      <c r="F42">
        <v>10</v>
      </c>
      <c r="G42">
        <v>150</v>
      </c>
      <c r="H42">
        <f>SUMIF($D$3:$D$37,D42,$F$3:$F$37)</f>
        <v>50</v>
      </c>
      <c r="I42">
        <f t="shared" si="3"/>
        <v>100</v>
      </c>
      <c r="J42">
        <v>45.4</v>
      </c>
      <c r="K42">
        <f t="shared" ref="K42:K46" si="5">I42*J42/1000</f>
        <v>4.54</v>
      </c>
    </row>
    <row r="43" spans="2:14" x14ac:dyDescent="0.25">
      <c r="B43" t="s">
        <v>156</v>
      </c>
      <c r="C43" t="s">
        <v>51</v>
      </c>
      <c r="D43" t="s">
        <v>64</v>
      </c>
      <c r="E43">
        <v>12</v>
      </c>
      <c r="F43">
        <v>10</v>
      </c>
      <c r="G43">
        <v>150</v>
      </c>
      <c r="H43">
        <f>SUMIF($D$3:$D$37,D43,$F$3:$F$37)</f>
        <v>50</v>
      </c>
      <c r="I43">
        <f t="shared" si="3"/>
        <v>100</v>
      </c>
      <c r="J43">
        <v>46.4</v>
      </c>
      <c r="K43">
        <f t="shared" si="5"/>
        <v>4.6399999999999997</v>
      </c>
    </row>
    <row r="44" spans="2:14" x14ac:dyDescent="0.25">
      <c r="E44">
        <v>5</v>
      </c>
      <c r="F44">
        <v>5</v>
      </c>
      <c r="G44">
        <v>500</v>
      </c>
      <c r="H44">
        <f>SUMIF($D$3:$D$37,D44,$F$3:$F$37)+H48</f>
        <v>60</v>
      </c>
      <c r="I44">
        <f t="shared" si="3"/>
        <v>0</v>
      </c>
      <c r="J44">
        <v>29.7</v>
      </c>
      <c r="K44">
        <f t="shared" si="5"/>
        <v>0</v>
      </c>
    </row>
    <row r="45" spans="2:14" x14ac:dyDescent="0.25">
      <c r="B45" t="s">
        <v>150</v>
      </c>
      <c r="C45" t="s">
        <v>139</v>
      </c>
      <c r="D45" t="s">
        <v>38</v>
      </c>
      <c r="E45">
        <v>5.5</v>
      </c>
      <c r="F45">
        <v>5</v>
      </c>
      <c r="G45">
        <v>500</v>
      </c>
      <c r="H45">
        <f>SUMIF($D$3:$D$37,D45,$F$3:$F$37)+H49</f>
        <v>130</v>
      </c>
      <c r="I45">
        <f t="shared" si="3"/>
        <v>65</v>
      </c>
      <c r="J45">
        <v>41</v>
      </c>
      <c r="K45">
        <f t="shared" si="5"/>
        <v>2.665</v>
      </c>
    </row>
    <row r="46" spans="2:14" x14ac:dyDescent="0.25">
      <c r="B46" t="s">
        <v>152</v>
      </c>
      <c r="C46" t="s">
        <v>139</v>
      </c>
      <c r="D46" t="s">
        <v>42</v>
      </c>
      <c r="E46">
        <v>5</v>
      </c>
      <c r="F46">
        <v>3.3</v>
      </c>
      <c r="G46">
        <v>500</v>
      </c>
      <c r="H46">
        <f>SUMIF($D$3:$D$37,D46,$F$3:$F$37)+H48</f>
        <v>199</v>
      </c>
      <c r="I46">
        <f t="shared" si="3"/>
        <v>338.3</v>
      </c>
      <c r="J46">
        <v>41</v>
      </c>
      <c r="K46">
        <f t="shared" si="5"/>
        <v>13.8703</v>
      </c>
    </row>
    <row r="47" spans="2:14" x14ac:dyDescent="0.25">
      <c r="B47" t="s">
        <v>151</v>
      </c>
      <c r="C47" t="s">
        <v>167</v>
      </c>
      <c r="D47" t="s">
        <v>41</v>
      </c>
      <c r="E47">
        <v>5.5</v>
      </c>
      <c r="F47">
        <v>3.3</v>
      </c>
      <c r="G47">
        <v>500</v>
      </c>
      <c r="H47">
        <f>SUMIF($D$3:$D$37,D47,$F$3:$F$37)</f>
        <v>85</v>
      </c>
      <c r="I47">
        <f t="shared" si="3"/>
        <v>187.00000000000003</v>
      </c>
      <c r="J47">
        <v>52.7</v>
      </c>
      <c r="K47">
        <f>I47*J47/1000</f>
        <v>9.8549000000000007</v>
      </c>
    </row>
    <row r="48" spans="2:14" x14ac:dyDescent="0.25">
      <c r="B48" t="s">
        <v>154</v>
      </c>
      <c r="C48" t="s">
        <v>71</v>
      </c>
      <c r="D48" t="s">
        <v>165</v>
      </c>
      <c r="E48">
        <v>3.3</v>
      </c>
      <c r="F48">
        <v>1.2</v>
      </c>
      <c r="G48">
        <v>200</v>
      </c>
      <c r="H48">
        <f>SUMIF($D$3:$D$37,D48,$F$3:$F$37)</f>
        <v>60</v>
      </c>
      <c r="I48">
        <f t="shared" si="3"/>
        <v>125.99999999999997</v>
      </c>
      <c r="J48">
        <v>185.6</v>
      </c>
      <c r="K48">
        <f>I48*J48/1000</f>
        <v>23.385599999999997</v>
      </c>
      <c r="M48">
        <v>54.5</v>
      </c>
      <c r="N48">
        <f>I48*M48/1000</f>
        <v>6.8669999999999982</v>
      </c>
    </row>
    <row r="49" spans="2:11" x14ac:dyDescent="0.25">
      <c r="B49" t="s">
        <v>153</v>
      </c>
      <c r="C49" t="s">
        <v>167</v>
      </c>
      <c r="D49" t="s">
        <v>166</v>
      </c>
      <c r="E49">
        <v>5.5</v>
      </c>
      <c r="F49">
        <v>5</v>
      </c>
      <c r="G49">
        <v>200</v>
      </c>
      <c r="H49">
        <f>SUMIF($D$3:$D$37,D49,$F$3:$F$37)</f>
        <v>44</v>
      </c>
      <c r="I49">
        <f t="shared" ref="I49" si="6">(E49-F49)*H49</f>
        <v>22</v>
      </c>
      <c r="J49">
        <v>52.7</v>
      </c>
      <c r="K49">
        <f>I49*J49/1000</f>
        <v>1.1594</v>
      </c>
    </row>
    <row r="52" spans="2:11" x14ac:dyDescent="0.25">
      <c r="D52" t="s">
        <v>48</v>
      </c>
      <c r="E52" t="s">
        <v>54</v>
      </c>
    </row>
    <row r="53" spans="2:11" x14ac:dyDescent="0.25">
      <c r="C53" t="s">
        <v>130</v>
      </c>
      <c r="D53" t="s">
        <v>84</v>
      </c>
      <c r="E53">
        <f>F22</f>
        <v>1</v>
      </c>
      <c r="F53">
        <f>SUM(E53:E56)</f>
        <v>285</v>
      </c>
      <c r="G53">
        <f>E53*5</f>
        <v>5</v>
      </c>
      <c r="H53">
        <f>F53*9</f>
        <v>2565</v>
      </c>
      <c r="J53" t="s">
        <v>82</v>
      </c>
      <c r="K53" t="s">
        <v>83</v>
      </c>
    </row>
    <row r="54" spans="2:11" x14ac:dyDescent="0.25">
      <c r="D54" t="s">
        <v>41</v>
      </c>
      <c r="E54">
        <f t="shared" ref="E54:E56" si="7">SUMIF($D$40:$D$48,D54,$H$40:$H$48)</f>
        <v>85</v>
      </c>
      <c r="G54">
        <f>E54*3.3</f>
        <v>280.5</v>
      </c>
    </row>
    <row r="55" spans="2:11" x14ac:dyDescent="0.25">
      <c r="D55" t="s">
        <v>42</v>
      </c>
      <c r="E55">
        <f t="shared" si="7"/>
        <v>199</v>
      </c>
      <c r="G55">
        <f>E55*3.3</f>
        <v>656.69999999999993</v>
      </c>
    </row>
    <row r="56" spans="2:11" x14ac:dyDescent="0.25">
      <c r="D56" t="s">
        <v>70</v>
      </c>
      <c r="E56">
        <f t="shared" si="7"/>
        <v>0</v>
      </c>
      <c r="G56">
        <f>E56*1.8</f>
        <v>0</v>
      </c>
    </row>
    <row r="58" spans="2:11" x14ac:dyDescent="0.25">
      <c r="B58" t="s">
        <v>155</v>
      </c>
      <c r="C58" t="s">
        <v>73</v>
      </c>
      <c r="D58" t="s">
        <v>47</v>
      </c>
      <c r="E58">
        <f>H40</f>
        <v>48</v>
      </c>
      <c r="G58">
        <f>E58*12</f>
        <v>576</v>
      </c>
    </row>
    <row r="59" spans="2:11" x14ac:dyDescent="0.25">
      <c r="B59" t="s">
        <v>156</v>
      </c>
      <c r="D59" t="s">
        <v>63</v>
      </c>
      <c r="E59">
        <f>H42</f>
        <v>50</v>
      </c>
      <c r="G59">
        <f>E59*12</f>
        <v>600</v>
      </c>
    </row>
    <row r="61" spans="2:11" x14ac:dyDescent="0.25">
      <c r="B61" t="s">
        <v>155</v>
      </c>
      <c r="C61" t="s">
        <v>72</v>
      </c>
      <c r="D61" t="s">
        <v>55</v>
      </c>
      <c r="E61">
        <f>H41</f>
        <v>40</v>
      </c>
      <c r="F61">
        <f>SUM(E61:E62)</f>
        <v>90</v>
      </c>
    </row>
    <row r="62" spans="2:11" x14ac:dyDescent="0.25">
      <c r="B62" t="s">
        <v>156</v>
      </c>
      <c r="D62" t="s">
        <v>64</v>
      </c>
      <c r="E62">
        <f>H43</f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G24" sqref="G24"/>
    </sheetView>
  </sheetViews>
  <sheetFormatPr defaultRowHeight="15" x14ac:dyDescent="0.25"/>
  <cols>
    <col min="1" max="1" width="13.140625" bestFit="1" customWidth="1"/>
    <col min="2" max="2" width="23.42578125" bestFit="1" customWidth="1"/>
    <col min="3" max="3" width="7.140625" bestFit="1" customWidth="1"/>
    <col min="4" max="4" width="13.5703125" bestFit="1" customWidth="1"/>
  </cols>
  <sheetData>
    <row r="1" spans="1:11" x14ac:dyDescent="0.25">
      <c r="A1" t="s">
        <v>180</v>
      </c>
      <c r="B1" t="s">
        <v>97</v>
      </c>
      <c r="E1" t="s">
        <v>213</v>
      </c>
      <c r="I1" t="s">
        <v>214</v>
      </c>
    </row>
    <row r="2" spans="1:11" x14ac:dyDescent="0.25">
      <c r="A2" t="s">
        <v>169</v>
      </c>
      <c r="B2" t="s">
        <v>173</v>
      </c>
      <c r="E2" t="s">
        <v>215</v>
      </c>
      <c r="F2" t="s">
        <v>235</v>
      </c>
      <c r="I2" t="s">
        <v>215</v>
      </c>
      <c r="J2" t="s">
        <v>219</v>
      </c>
    </row>
    <row r="3" spans="1:11" x14ac:dyDescent="0.25">
      <c r="A3" t="s">
        <v>170</v>
      </c>
      <c r="B3" t="s">
        <v>174</v>
      </c>
      <c r="E3" t="s">
        <v>233</v>
      </c>
      <c r="F3" t="s">
        <v>236</v>
      </c>
      <c r="I3" t="s">
        <v>216</v>
      </c>
      <c r="J3" t="s">
        <v>196</v>
      </c>
    </row>
    <row r="4" spans="1:11" x14ac:dyDescent="0.25">
      <c r="A4" t="s">
        <v>171</v>
      </c>
      <c r="B4" t="s">
        <v>175</v>
      </c>
      <c r="E4" t="s">
        <v>234</v>
      </c>
      <c r="F4" t="s">
        <v>188</v>
      </c>
      <c r="I4" t="s">
        <v>217</v>
      </c>
      <c r="J4" t="s">
        <v>195</v>
      </c>
    </row>
    <row r="5" spans="1:11" x14ac:dyDescent="0.25">
      <c r="A5" t="s">
        <v>172</v>
      </c>
      <c r="B5" t="s">
        <v>176</v>
      </c>
      <c r="E5" t="s">
        <v>217</v>
      </c>
      <c r="F5" t="s">
        <v>187</v>
      </c>
      <c r="I5" t="s">
        <v>218</v>
      </c>
      <c r="J5" t="s">
        <v>197</v>
      </c>
    </row>
    <row r="6" spans="1:11" x14ac:dyDescent="0.25">
      <c r="A6" t="s">
        <v>177</v>
      </c>
      <c r="B6" t="s">
        <v>179</v>
      </c>
    </row>
    <row r="7" spans="1:11" x14ac:dyDescent="0.25">
      <c r="A7" t="s">
        <v>178</v>
      </c>
      <c r="B7" t="s">
        <v>179</v>
      </c>
      <c r="E7" t="s">
        <v>220</v>
      </c>
      <c r="F7" t="s">
        <v>221</v>
      </c>
      <c r="G7" t="s">
        <v>248</v>
      </c>
      <c r="I7" t="s">
        <v>220</v>
      </c>
      <c r="J7" t="s">
        <v>221</v>
      </c>
      <c r="K7" t="s">
        <v>248</v>
      </c>
    </row>
    <row r="8" spans="1:11" x14ac:dyDescent="0.25">
      <c r="E8" t="s">
        <v>222</v>
      </c>
      <c r="I8" t="s">
        <v>222</v>
      </c>
      <c r="K8" t="s">
        <v>224</v>
      </c>
    </row>
    <row r="9" spans="1:11" x14ac:dyDescent="0.25">
      <c r="A9" t="s">
        <v>181</v>
      </c>
      <c r="B9" t="s">
        <v>186</v>
      </c>
      <c r="E9" t="s">
        <v>237</v>
      </c>
      <c r="F9" t="s">
        <v>230</v>
      </c>
      <c r="G9" t="s">
        <v>249</v>
      </c>
      <c r="I9" t="s">
        <v>223</v>
      </c>
      <c r="J9" t="s">
        <v>221</v>
      </c>
      <c r="K9" t="s">
        <v>225</v>
      </c>
    </row>
    <row r="10" spans="1:11" x14ac:dyDescent="0.25">
      <c r="A10" t="s">
        <v>182</v>
      </c>
      <c r="B10" t="s">
        <v>187</v>
      </c>
      <c r="E10" t="s">
        <v>238</v>
      </c>
      <c r="F10" t="s">
        <v>230</v>
      </c>
      <c r="G10" t="s">
        <v>250</v>
      </c>
      <c r="I10" t="s">
        <v>232</v>
      </c>
      <c r="J10" t="s">
        <v>221</v>
      </c>
      <c r="K10" t="s">
        <v>225</v>
      </c>
    </row>
    <row r="11" spans="1:11" x14ac:dyDescent="0.25">
      <c r="A11" t="s">
        <v>183</v>
      </c>
      <c r="B11" t="s">
        <v>188</v>
      </c>
      <c r="E11" t="s">
        <v>239</v>
      </c>
      <c r="F11" t="s">
        <v>221</v>
      </c>
      <c r="G11" t="s">
        <v>251</v>
      </c>
    </row>
    <row r="12" spans="1:11" x14ac:dyDescent="0.25">
      <c r="E12" t="s">
        <v>240</v>
      </c>
      <c r="F12" t="s">
        <v>230</v>
      </c>
      <c r="I12" t="s">
        <v>226</v>
      </c>
      <c r="J12" t="s">
        <v>221</v>
      </c>
      <c r="K12" t="s">
        <v>231</v>
      </c>
    </row>
    <row r="13" spans="1:11" x14ac:dyDescent="0.25">
      <c r="A13" t="s">
        <v>184</v>
      </c>
      <c r="B13" t="s">
        <v>189</v>
      </c>
      <c r="E13" t="s">
        <v>241</v>
      </c>
      <c r="F13" t="s">
        <v>230</v>
      </c>
      <c r="I13" t="s">
        <v>227</v>
      </c>
      <c r="J13" t="s">
        <v>230</v>
      </c>
    </row>
    <row r="14" spans="1:11" x14ac:dyDescent="0.25">
      <c r="A14" t="s">
        <v>185</v>
      </c>
      <c r="B14" t="s">
        <v>190</v>
      </c>
      <c r="E14" t="s">
        <v>242</v>
      </c>
      <c r="F14" t="s">
        <v>221</v>
      </c>
      <c r="G14" t="s">
        <v>261</v>
      </c>
      <c r="I14" t="s">
        <v>228</v>
      </c>
      <c r="J14" t="s">
        <v>230</v>
      </c>
    </row>
    <row r="15" spans="1:11" x14ac:dyDescent="0.25">
      <c r="A15" t="s">
        <v>98</v>
      </c>
      <c r="B15" t="s">
        <v>191</v>
      </c>
      <c r="E15" t="s">
        <v>243</v>
      </c>
      <c r="F15" t="s">
        <v>230</v>
      </c>
      <c r="G15" t="s">
        <v>261</v>
      </c>
      <c r="I15" t="s">
        <v>229</v>
      </c>
      <c r="J15" t="s">
        <v>230</v>
      </c>
    </row>
    <row r="16" spans="1:11" x14ac:dyDescent="0.25">
      <c r="E16" t="s">
        <v>244</v>
      </c>
      <c r="F16" t="s">
        <v>221</v>
      </c>
      <c r="G16" t="s">
        <v>252</v>
      </c>
    </row>
    <row r="17" spans="1:7" x14ac:dyDescent="0.25">
      <c r="A17" t="s">
        <v>192</v>
      </c>
      <c r="B17" t="s">
        <v>195</v>
      </c>
      <c r="E17" t="s">
        <v>245</v>
      </c>
      <c r="F17" t="s">
        <v>221</v>
      </c>
    </row>
    <row r="18" spans="1:7" x14ac:dyDescent="0.25">
      <c r="A18" t="s">
        <v>193</v>
      </c>
      <c r="B18" t="s">
        <v>196</v>
      </c>
      <c r="E18" t="s">
        <v>228</v>
      </c>
      <c r="F18" t="s">
        <v>230</v>
      </c>
    </row>
    <row r="19" spans="1:7" x14ac:dyDescent="0.25">
      <c r="A19" t="s">
        <v>194</v>
      </c>
      <c r="B19" t="s">
        <v>197</v>
      </c>
      <c r="E19" t="s">
        <v>227</v>
      </c>
      <c r="F19" t="s">
        <v>230</v>
      </c>
    </row>
    <row r="20" spans="1:7" x14ac:dyDescent="0.25">
      <c r="E20" t="s">
        <v>246</v>
      </c>
      <c r="F20" t="s">
        <v>221</v>
      </c>
      <c r="G20" t="s">
        <v>260</v>
      </c>
    </row>
    <row r="21" spans="1:7" x14ac:dyDescent="0.25">
      <c r="A21" t="s">
        <v>85</v>
      </c>
      <c r="B21" t="s">
        <v>200</v>
      </c>
      <c r="C21" t="s">
        <v>201</v>
      </c>
      <c r="E21" t="s">
        <v>247</v>
      </c>
      <c r="F21" t="s">
        <v>221</v>
      </c>
      <c r="G21" t="s">
        <v>256</v>
      </c>
    </row>
    <row r="22" spans="1:7" x14ac:dyDescent="0.25">
      <c r="A22" t="s">
        <v>86</v>
      </c>
      <c r="B22" t="s">
        <v>202</v>
      </c>
      <c r="C22" t="s">
        <v>203</v>
      </c>
    </row>
    <row r="23" spans="1:7" x14ac:dyDescent="0.25">
      <c r="A23" t="s">
        <v>87</v>
      </c>
      <c r="B23" t="s">
        <v>204</v>
      </c>
      <c r="C23" t="s">
        <v>205</v>
      </c>
      <c r="E23" t="s">
        <v>253</v>
      </c>
      <c r="F23" t="s">
        <v>230</v>
      </c>
      <c r="G23" t="s">
        <v>257</v>
      </c>
    </row>
    <row r="24" spans="1:7" x14ac:dyDescent="0.25">
      <c r="A24" t="s">
        <v>88</v>
      </c>
      <c r="B24" t="s">
        <v>206</v>
      </c>
      <c r="C24" t="s">
        <v>207</v>
      </c>
      <c r="E24" t="s">
        <v>254</v>
      </c>
      <c r="F24" t="s">
        <v>230</v>
      </c>
      <c r="G24" t="s">
        <v>258</v>
      </c>
    </row>
    <row r="25" spans="1:7" x14ac:dyDescent="0.25">
      <c r="A25" t="s">
        <v>89</v>
      </c>
      <c r="B25" t="s">
        <v>208</v>
      </c>
      <c r="E25" t="s">
        <v>255</v>
      </c>
      <c r="F25" t="s">
        <v>221</v>
      </c>
      <c r="G25" t="s">
        <v>259</v>
      </c>
    </row>
    <row r="26" spans="1:7" x14ac:dyDescent="0.25">
      <c r="A26" t="s">
        <v>90</v>
      </c>
      <c r="B26" t="s">
        <v>179</v>
      </c>
    </row>
    <row r="27" spans="1:7" x14ac:dyDescent="0.25">
      <c r="A27" t="s">
        <v>91</v>
      </c>
      <c r="B27" t="s">
        <v>209</v>
      </c>
    </row>
    <row r="28" spans="1:7" x14ac:dyDescent="0.25">
      <c r="A28" t="s">
        <v>92</v>
      </c>
      <c r="B28" t="s">
        <v>210</v>
      </c>
    </row>
    <row r="29" spans="1:7" x14ac:dyDescent="0.25">
      <c r="A29" t="s">
        <v>93</v>
      </c>
      <c r="B29" t="s">
        <v>179</v>
      </c>
    </row>
    <row r="30" spans="1:7" x14ac:dyDescent="0.25">
      <c r="A30" t="s">
        <v>94</v>
      </c>
      <c r="B30" t="s">
        <v>179</v>
      </c>
    </row>
    <row r="31" spans="1:7" x14ac:dyDescent="0.25">
      <c r="A31" t="s">
        <v>95</v>
      </c>
      <c r="B31" t="s">
        <v>211</v>
      </c>
    </row>
    <row r="32" spans="1:7" x14ac:dyDescent="0.25">
      <c r="A32" t="s">
        <v>96</v>
      </c>
      <c r="B32" t="s">
        <v>212</v>
      </c>
    </row>
    <row r="33" spans="1:2" x14ac:dyDescent="0.25">
      <c r="A33" t="s">
        <v>198</v>
      </c>
      <c r="B33" t="s">
        <v>179</v>
      </c>
    </row>
    <row r="34" spans="1:2" x14ac:dyDescent="0.25">
      <c r="A34" t="s">
        <v>199</v>
      </c>
      <c r="B34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31" workbookViewId="0">
      <selection activeCell="C69" sqref="C69"/>
    </sheetView>
  </sheetViews>
  <sheetFormatPr defaultRowHeight="15" x14ac:dyDescent="0.25"/>
  <cols>
    <col min="5" max="5" width="12" bestFit="1" customWidth="1"/>
    <col min="8" max="8" width="12" bestFit="1" customWidth="1"/>
  </cols>
  <sheetData>
    <row r="1" spans="1:7" x14ac:dyDescent="0.25">
      <c r="A1" s="3" t="s">
        <v>112</v>
      </c>
      <c r="B1" s="3"/>
      <c r="C1" s="3"/>
      <c r="D1" s="3"/>
      <c r="E1" s="3"/>
      <c r="F1" s="3"/>
      <c r="G1" s="3"/>
    </row>
    <row r="2" spans="1:7" x14ac:dyDescent="0.25">
      <c r="A2" t="s">
        <v>51</v>
      </c>
      <c r="D2" t="s">
        <v>99</v>
      </c>
      <c r="E2">
        <v>1.19</v>
      </c>
      <c r="F2" t="s">
        <v>100</v>
      </c>
    </row>
    <row r="3" spans="1:7" x14ac:dyDescent="0.25">
      <c r="A3" t="s">
        <v>101</v>
      </c>
      <c r="B3" t="s">
        <v>102</v>
      </c>
      <c r="D3" t="s">
        <v>103</v>
      </c>
      <c r="G3">
        <f>$E$2*(1+E6/E7)</f>
        <v>5.0456000000000003</v>
      </c>
    </row>
    <row r="4" spans="1:7" x14ac:dyDescent="0.25">
      <c r="A4" t="s">
        <v>104</v>
      </c>
      <c r="B4" t="s">
        <v>105</v>
      </c>
      <c r="D4" t="s">
        <v>106</v>
      </c>
      <c r="G4">
        <f>E2*(-E8/E9)</f>
        <v>-5.0217999999999998</v>
      </c>
    </row>
    <row r="6" spans="1:7" x14ac:dyDescent="0.25">
      <c r="D6" t="s">
        <v>107</v>
      </c>
      <c r="E6">
        <v>32400</v>
      </c>
      <c r="F6" t="s">
        <v>108</v>
      </c>
    </row>
    <row r="7" spans="1:7" x14ac:dyDescent="0.25">
      <c r="D7" t="s">
        <v>109</v>
      </c>
      <c r="E7">
        <v>10000</v>
      </c>
      <c r="F7" t="s">
        <v>108</v>
      </c>
    </row>
    <row r="8" spans="1:7" x14ac:dyDescent="0.25">
      <c r="D8" t="s">
        <v>110</v>
      </c>
      <c r="E8">
        <v>42200</v>
      </c>
      <c r="F8" t="s">
        <v>108</v>
      </c>
    </row>
    <row r="9" spans="1:7" x14ac:dyDescent="0.25">
      <c r="D9" t="s">
        <v>111</v>
      </c>
      <c r="E9">
        <v>10000</v>
      </c>
      <c r="F9" t="s">
        <v>108</v>
      </c>
    </row>
    <row r="11" spans="1:7" x14ac:dyDescent="0.25">
      <c r="A11" s="3" t="s">
        <v>113</v>
      </c>
      <c r="B11" s="3"/>
      <c r="C11" s="3"/>
      <c r="D11" s="3"/>
      <c r="E11" s="3"/>
      <c r="F11" s="3"/>
      <c r="G11" s="3"/>
    </row>
    <row r="12" spans="1:7" x14ac:dyDescent="0.25">
      <c r="A12" t="s">
        <v>51</v>
      </c>
      <c r="D12" t="s">
        <v>99</v>
      </c>
      <c r="E12">
        <v>1.19</v>
      </c>
      <c r="F12" t="s">
        <v>100</v>
      </c>
    </row>
    <row r="13" spans="1:7" x14ac:dyDescent="0.25">
      <c r="A13" t="s">
        <v>101</v>
      </c>
      <c r="B13" t="s">
        <v>102</v>
      </c>
      <c r="D13" t="s">
        <v>103</v>
      </c>
      <c r="G13">
        <f>$E$2*(1+E16/E17)</f>
        <v>10.115</v>
      </c>
    </row>
    <row r="14" spans="1:7" x14ac:dyDescent="0.25">
      <c r="A14" t="s">
        <v>104</v>
      </c>
      <c r="B14" t="s">
        <v>105</v>
      </c>
      <c r="D14" t="s">
        <v>106</v>
      </c>
      <c r="G14">
        <f>E12*(-E18/E19)</f>
        <v>-10.055499999999999</v>
      </c>
    </row>
    <row r="16" spans="1:7" x14ac:dyDescent="0.25">
      <c r="D16" t="s">
        <v>107</v>
      </c>
      <c r="E16">
        <v>75000</v>
      </c>
      <c r="F16" t="s">
        <v>108</v>
      </c>
    </row>
    <row r="17" spans="1:7" x14ac:dyDescent="0.25">
      <c r="D17" t="s">
        <v>109</v>
      </c>
      <c r="E17">
        <v>10000</v>
      </c>
      <c r="F17" t="s">
        <v>108</v>
      </c>
    </row>
    <row r="18" spans="1:7" x14ac:dyDescent="0.25">
      <c r="D18" t="s">
        <v>110</v>
      </c>
      <c r="E18">
        <v>84500</v>
      </c>
      <c r="F18" t="s">
        <v>108</v>
      </c>
    </row>
    <row r="19" spans="1:7" x14ac:dyDescent="0.25">
      <c r="D19" t="s">
        <v>111</v>
      </c>
      <c r="E19">
        <v>10000</v>
      </c>
      <c r="F19" t="s">
        <v>108</v>
      </c>
    </row>
    <row r="22" spans="1:7" x14ac:dyDescent="0.25">
      <c r="A22" s="3" t="s">
        <v>116</v>
      </c>
      <c r="B22" s="3"/>
      <c r="C22" s="3"/>
      <c r="D22" s="3"/>
      <c r="E22" s="3"/>
      <c r="F22" s="3"/>
      <c r="G22" s="3"/>
    </row>
    <row r="23" spans="1:7" x14ac:dyDescent="0.25">
      <c r="A23" t="s">
        <v>117</v>
      </c>
      <c r="D23" t="s">
        <v>120</v>
      </c>
      <c r="E23">
        <v>1.2130000000000001</v>
      </c>
      <c r="F23" t="s">
        <v>100</v>
      </c>
    </row>
    <row r="24" spans="1:7" x14ac:dyDescent="0.25">
      <c r="A24" t="s">
        <v>101</v>
      </c>
      <c r="B24" t="s">
        <v>119</v>
      </c>
      <c r="D24" t="s">
        <v>121</v>
      </c>
      <c r="G24">
        <f>E29/E30*E23+1</f>
        <v>12.027272727272729</v>
      </c>
    </row>
    <row r="25" spans="1:7" x14ac:dyDescent="0.25">
      <c r="A25" t="s">
        <v>118</v>
      </c>
      <c r="B25" t="s">
        <v>72</v>
      </c>
      <c r="D25" t="s">
        <v>124</v>
      </c>
      <c r="G25">
        <f>E31/(-E32)*E23</f>
        <v>-12.13</v>
      </c>
    </row>
    <row r="29" spans="1:7" x14ac:dyDescent="0.25">
      <c r="D29" t="s">
        <v>114</v>
      </c>
      <c r="E29">
        <v>1000000</v>
      </c>
      <c r="F29" t="s">
        <v>108</v>
      </c>
    </row>
    <row r="30" spans="1:7" x14ac:dyDescent="0.25">
      <c r="D30" t="s">
        <v>115</v>
      </c>
      <c r="E30">
        <v>110000</v>
      </c>
      <c r="F30" t="s">
        <v>108</v>
      </c>
    </row>
    <row r="31" spans="1:7" x14ac:dyDescent="0.25">
      <c r="D31" t="s">
        <v>122</v>
      </c>
      <c r="E31">
        <v>1000000</v>
      </c>
      <c r="F31" t="s">
        <v>108</v>
      </c>
    </row>
    <row r="32" spans="1:7" x14ac:dyDescent="0.25">
      <c r="D32" t="s">
        <v>123</v>
      </c>
      <c r="E32">
        <v>100000</v>
      </c>
      <c r="F32" t="s">
        <v>108</v>
      </c>
    </row>
    <row r="35" spans="1:9" x14ac:dyDescent="0.25">
      <c r="A35" t="s">
        <v>139</v>
      </c>
    </row>
    <row r="36" spans="1:9" x14ac:dyDescent="0.25">
      <c r="A36" t="s">
        <v>132</v>
      </c>
      <c r="B36">
        <v>5</v>
      </c>
      <c r="D36" t="s">
        <v>120</v>
      </c>
      <c r="E36">
        <v>0.65</v>
      </c>
      <c r="F36" t="s">
        <v>100</v>
      </c>
    </row>
    <row r="37" spans="1:9" x14ac:dyDescent="0.25">
      <c r="D37" t="s">
        <v>140</v>
      </c>
      <c r="G37">
        <f>E36*(1+E40/E41)</f>
        <v>4.9833333333333334</v>
      </c>
    </row>
    <row r="38" spans="1:9" x14ac:dyDescent="0.25">
      <c r="D38" t="s">
        <v>135</v>
      </c>
      <c r="E38">
        <f>G38</f>
        <v>1E-8</v>
      </c>
      <c r="F38" t="s">
        <v>136</v>
      </c>
      <c r="G38">
        <v>1E-8</v>
      </c>
    </row>
    <row r="40" spans="1:9" x14ac:dyDescent="0.25">
      <c r="C40" t="s">
        <v>134</v>
      </c>
      <c r="D40" t="s">
        <v>114</v>
      </c>
      <c r="E40">
        <v>1000000</v>
      </c>
      <c r="F40" t="s">
        <v>142</v>
      </c>
    </row>
    <row r="41" spans="1:9" x14ac:dyDescent="0.25">
      <c r="C41" t="s">
        <v>133</v>
      </c>
      <c r="D41" t="s">
        <v>115</v>
      </c>
      <c r="E41">
        <v>150000</v>
      </c>
      <c r="F41" t="s">
        <v>143</v>
      </c>
      <c r="G41" t="s">
        <v>137</v>
      </c>
      <c r="H41">
        <v>10</v>
      </c>
      <c r="I41" t="s">
        <v>138</v>
      </c>
    </row>
    <row r="42" spans="1:9" x14ac:dyDescent="0.25">
      <c r="D42" t="s">
        <v>141</v>
      </c>
      <c r="E42" s="2">
        <f>E40+E41</f>
        <v>1150000</v>
      </c>
      <c r="F42" s="2">
        <f>B36/(E38*100)</f>
        <v>5000000</v>
      </c>
    </row>
    <row r="43" spans="1:9" x14ac:dyDescent="0.25">
      <c r="A43" t="s">
        <v>139</v>
      </c>
    </row>
    <row r="44" spans="1:9" x14ac:dyDescent="0.25">
      <c r="A44" t="s">
        <v>132</v>
      </c>
      <c r="B44">
        <v>3.3</v>
      </c>
      <c r="D44" t="s">
        <v>120</v>
      </c>
      <c r="E44">
        <v>0.65</v>
      </c>
      <c r="F44" t="s">
        <v>100</v>
      </c>
    </row>
    <row r="45" spans="1:9" x14ac:dyDescent="0.25">
      <c r="D45" t="s">
        <v>140</v>
      </c>
      <c r="G45">
        <f>E44*(1+E48/E49)</f>
        <v>3.3030612244897961</v>
      </c>
    </row>
    <row r="46" spans="1:9" x14ac:dyDescent="0.25">
      <c r="D46" t="s">
        <v>135</v>
      </c>
      <c r="E46">
        <f>G46</f>
        <v>1E-8</v>
      </c>
      <c r="F46" t="s">
        <v>136</v>
      </c>
      <c r="G46">
        <v>1E-8</v>
      </c>
    </row>
    <row r="48" spans="1:9" x14ac:dyDescent="0.25">
      <c r="C48" t="s">
        <v>134</v>
      </c>
      <c r="D48" t="s">
        <v>114</v>
      </c>
      <c r="E48">
        <v>1000000</v>
      </c>
      <c r="F48" t="s">
        <v>142</v>
      </c>
    </row>
    <row r="49" spans="1:9" x14ac:dyDescent="0.25">
      <c r="C49" t="s">
        <v>133</v>
      </c>
      <c r="D49" t="s">
        <v>115</v>
      </c>
      <c r="E49">
        <v>245000</v>
      </c>
      <c r="F49" t="s">
        <v>144</v>
      </c>
      <c r="G49" t="s">
        <v>137</v>
      </c>
      <c r="H49">
        <v>10</v>
      </c>
      <c r="I49" t="s">
        <v>138</v>
      </c>
    </row>
    <row r="50" spans="1:9" x14ac:dyDescent="0.25">
      <c r="D50" t="s">
        <v>141</v>
      </c>
      <c r="E50" s="2">
        <f>E48+E49</f>
        <v>1245000</v>
      </c>
      <c r="F50" s="2">
        <f>B44/(E46*100)</f>
        <v>3300000</v>
      </c>
    </row>
    <row r="52" spans="1:9" x14ac:dyDescent="0.25">
      <c r="A52" t="s">
        <v>139</v>
      </c>
    </row>
    <row r="53" spans="1:9" x14ac:dyDescent="0.25">
      <c r="A53" t="s">
        <v>132</v>
      </c>
      <c r="B53">
        <v>1.8</v>
      </c>
      <c r="D53" t="s">
        <v>120</v>
      </c>
      <c r="E53">
        <v>0.65</v>
      </c>
      <c r="F53" t="s">
        <v>100</v>
      </c>
    </row>
    <row r="54" spans="1:9" x14ac:dyDescent="0.25">
      <c r="D54" t="s">
        <v>140</v>
      </c>
      <c r="G54">
        <f>E53*(1+E57/E58)</f>
        <v>1.8107142857142857</v>
      </c>
    </row>
    <row r="55" spans="1:9" x14ac:dyDescent="0.25">
      <c r="D55" t="s">
        <v>135</v>
      </c>
      <c r="E55">
        <f>G55</f>
        <v>1E-8</v>
      </c>
      <c r="F55" t="s">
        <v>136</v>
      </c>
      <c r="G55">
        <v>1E-8</v>
      </c>
    </row>
    <row r="57" spans="1:9" x14ac:dyDescent="0.25">
      <c r="C57" t="s">
        <v>134</v>
      </c>
      <c r="D57" t="s">
        <v>114</v>
      </c>
      <c r="E57">
        <v>1000000</v>
      </c>
      <c r="F57" t="s">
        <v>142</v>
      </c>
    </row>
    <row r="58" spans="1:9" x14ac:dyDescent="0.25">
      <c r="C58" t="s">
        <v>133</v>
      </c>
      <c r="D58" t="s">
        <v>115</v>
      </c>
      <c r="E58">
        <v>560000</v>
      </c>
      <c r="F58" t="s">
        <v>145</v>
      </c>
      <c r="G58" t="s">
        <v>137</v>
      </c>
      <c r="H58">
        <v>10</v>
      </c>
      <c r="I58" t="s">
        <v>138</v>
      </c>
    </row>
    <row r="59" spans="1:9" x14ac:dyDescent="0.25">
      <c r="D59" t="s">
        <v>141</v>
      </c>
      <c r="E59" s="2">
        <f>E57+E58</f>
        <v>1560000</v>
      </c>
      <c r="F59" s="2">
        <f>B53/(E55*100)</f>
        <v>1800000.0000000002</v>
      </c>
    </row>
  </sheetData>
  <mergeCells count="3">
    <mergeCell ref="A1:G1"/>
    <mergeCell ref="A11:G11"/>
    <mergeCell ref="A22:G22"/>
  </mergeCells>
  <pageMargins left="0.7" right="0.7" top="0.75" bottom="0.75" header="0.3" footer="0.3"/>
  <pageSetup paperSize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Budget</vt:lpstr>
      <vt:lpstr>I2SoverUSB Pinout</vt:lpstr>
      <vt:lpstr>Power Budget (2)</vt:lpstr>
      <vt:lpstr>DSP Pinout and Config</vt:lpstr>
      <vt:lpstr>Setpoint Calcs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2025-06-04T00:46:49Z</dcterms:created>
  <dcterms:modified xsi:type="dcterms:W3CDTF">2026-04-05T19:05:31Z</dcterms:modified>
</cp:coreProperties>
</file>